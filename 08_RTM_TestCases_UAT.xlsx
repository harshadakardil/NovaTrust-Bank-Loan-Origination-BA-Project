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OneDrive\Desktop\BA\BA Project for Resume\Banking Loan Orientation\"/>
    </mc:Choice>
  </mc:AlternateContent>
  <xr:revisionPtr revIDLastSave="0" documentId="13_ncr:1_{1BC07B23-E14A-40BC-A16E-6A28C49D27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TM" sheetId="1" r:id="rId1"/>
    <sheet name="Test Cases" sheetId="2" r:id="rId2"/>
    <sheet name="Defect Log" sheetId="3" r:id="rId3"/>
    <sheet name="UAT Sign-off" sheetId="4" r:id="rId4"/>
  </sheets>
  <definedNames>
    <definedName name="_xlnm._FilterDatabase" localSheetId="2" hidden="1">'Defect Log'!$A$4:$H$9</definedName>
    <definedName name="_xlnm._FilterDatabase" localSheetId="0" hidden="1">RTM!$A$5:$H$19</definedName>
    <definedName name="_xlnm._FilterDatabase" localSheetId="1" hidden="1">'Test Cases'!$A$5:$K$38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C13" i="4"/>
  <c r="C12" i="4"/>
  <c r="C11" i="4"/>
  <c r="C10" i="4"/>
  <c r="C9" i="4"/>
  <c r="C8" i="4"/>
  <c r="C7" i="4"/>
  <c r="C6" i="4"/>
  <c r="B24" i="1"/>
  <c r="B23" i="1"/>
  <c r="B22" i="1"/>
</calcChain>
</file>

<file path=xl/sharedStrings.xml><?xml version="1.0" encoding="utf-8"?>
<sst xmlns="http://schemas.openxmlformats.org/spreadsheetml/2006/main" count="581" uniqueCount="391">
  <si>
    <t>NovaTrust Bank — Digital Loan Origination System</t>
  </si>
  <si>
    <t>Requirements Traceability Matrix (RTM) — Phase 5</t>
  </si>
  <si>
    <t>Prepared by: Harshada Kardile | Business Analyst      Legend: Coverage Status — Fully Covered / Partially Covered / Gap</t>
  </si>
  <si>
    <t>BR ID</t>
  </si>
  <si>
    <t>Business Requirement (Summary)</t>
  </si>
  <si>
    <t>Related FR ID(s)</t>
  </si>
  <si>
    <t>Related BRL ID(s)</t>
  </si>
  <si>
    <t>Test Case ID(s)</t>
  </si>
  <si>
    <t>Jira Reference</t>
  </si>
  <si>
    <t>Coverage Status</t>
  </si>
  <si>
    <t>Notes</t>
  </si>
  <si>
    <t>BR-01</t>
  </si>
  <si>
    <t>System shall enable customers to submit loan applications digitally.</t>
  </si>
  <si>
    <t>FR-001 to FR-010</t>
  </si>
  <si>
    <t>BRL-01</t>
  </si>
  <si>
    <t>TC-01, TC-02, TC-03</t>
  </si>
  <si>
    <t>KAN-11</t>
  </si>
  <si>
    <t>Fully Covered</t>
  </si>
  <si>
    <t>BR-02</t>
  </si>
  <si>
    <t>System shall capture and validate required applicant and loan information.</t>
  </si>
  <si>
    <t>FR-002, FR-003, FR-007</t>
  </si>
  <si>
    <t>TC-04, TC-05</t>
  </si>
  <si>
    <t>BR-03</t>
  </si>
  <si>
    <t>System shall support digital document submission and verification.</t>
  </si>
  <si>
    <t>FR-011 to FR-020</t>
  </si>
  <si>
    <t>BRL-02, BRL-03</t>
  </si>
  <si>
    <t>TC-06, TC-07, TC-08</t>
  </si>
  <si>
    <t>BR-04</t>
  </si>
  <si>
    <t>System shall support automated eligibility assessment based on defined business rules.</t>
  </si>
  <si>
    <t>FR-046</t>
  </si>
  <si>
    <t>BRL-04</t>
  </si>
  <si>
    <t>TC-09, TC-10</t>
  </si>
  <si>
    <t>Partially Covered</t>
  </si>
  <si>
    <t>Eligibility gating exists via FR-046 (consolidation stage) but no standalone eligibility-assessment FR section in FRD 2.x.</t>
  </si>
  <si>
    <t>BR-05</t>
  </si>
  <si>
    <t>System shall support credit verification and capture the verification outcome.</t>
  </si>
  <si>
    <t>FR-031 to FR-040</t>
  </si>
  <si>
    <t>BRL-05</t>
  </si>
  <si>
    <t>TC-11, TC-12, TC-13</t>
  </si>
  <si>
    <t>BR-06</t>
  </si>
  <si>
    <t>System shall allow verification activities to be performed in parallel where applicable.</t>
  </si>
  <si>
    <t>FR-021 to FR-040</t>
  </si>
  <si>
    <t>BRL-06</t>
  </si>
  <si>
    <t>TC-14, TC-15</t>
  </si>
  <si>
    <t>BR-07</t>
  </si>
  <si>
    <t>System shall consolidate verification results before the final loan decision.</t>
  </si>
  <si>
    <t>FR-041 to FR-050</t>
  </si>
  <si>
    <t>BRL-07</t>
  </si>
  <si>
    <t>TC-16, TC-17, TC-18</t>
  </si>
  <si>
    <t>BR-08</t>
  </si>
  <si>
    <t>System shall provide an approval/rejection workflow based on authorized decision-making.</t>
  </si>
  <si>
    <t>FR-051 to FR-060</t>
  </si>
  <si>
    <t>BRL-08, BRL-09, BRL-10</t>
  </si>
  <si>
    <t>TC-19, TC-20, TC-21</t>
  </si>
  <si>
    <t>BR-09</t>
  </si>
  <si>
    <t>System shall automatically update the loan application status throughout the workflow.</t>
  </si>
  <si>
    <t>FR-061 to FR-070</t>
  </si>
  <si>
    <t>BRL-11</t>
  </si>
  <si>
    <t>TC-22, TC-23</t>
  </si>
  <si>
    <t>BR-10</t>
  </si>
  <si>
    <t>System shall notify customers about significant application status changes and decisions.</t>
  </si>
  <si>
    <t>FR-071 to FR-080</t>
  </si>
  <si>
    <t>BRL-12</t>
  </si>
  <si>
    <t>TC-24, TC-25, TC-26</t>
  </si>
  <si>
    <t>BR-11</t>
  </si>
  <si>
    <t>System shall support the processing of approved applications through loan disbursement.</t>
  </si>
  <si>
    <t>Not Defined</t>
  </si>
  <si>
    <t>BRL-13</t>
  </si>
  <si>
    <t>TC-27</t>
  </si>
  <si>
    <t>GAP</t>
  </si>
  <si>
    <t>No functional requirement currently defined in FRD for disbursement processing. Raised as DEF-05 for BA/Dev follow-up.</t>
  </si>
  <si>
    <t>BR-12</t>
  </si>
  <si>
    <t>System shall maintain a centralized record of application, verification, decision, and status information.</t>
  </si>
  <si>
    <t>FR-091 to FR-099</t>
  </si>
  <si>
    <t>BRL-14</t>
  </si>
  <si>
    <t>TC-28, TC-29</t>
  </si>
  <si>
    <t>BR-13</t>
  </si>
  <si>
    <t>System shall provide authorized users with appropriate access based on their roles and responsibilities.</t>
  </si>
  <si>
    <t>N/A (NFR-008 to NFR-017)</t>
  </si>
  <si>
    <t>BRL-15</t>
  </si>
  <si>
    <t>TC-30, TC-31</t>
  </si>
  <si>
    <t>Covered via Non-Functional (Security) Requirements, not a dedicated FR section.</t>
  </si>
  <si>
    <t>BR-14</t>
  </si>
  <si>
    <t>System shall maintain an auditable record of key loan processing activities and decisions.</t>
  </si>
  <si>
    <t>TC-32, TC-33</t>
  </si>
  <si>
    <t>Coverage Summary:</t>
  </si>
  <si>
    <t>Gap</t>
  </si>
  <si>
    <t>Test Scenarios &amp; Test Cases</t>
  </si>
  <si>
    <t>Digital Loan Origination System — Phase 5</t>
  </si>
  <si>
    <t>2–3 test cases per Business Requirement, covering happy path, negative, and edge scenarios.</t>
  </si>
  <si>
    <t>TC ID</t>
  </si>
  <si>
    <t>FR ID</t>
  </si>
  <si>
    <t>Test Scenario</t>
  </si>
  <si>
    <t>Test Steps</t>
  </si>
  <si>
    <t>Test Data</t>
  </si>
  <si>
    <t>Expected Result</t>
  </si>
  <si>
    <t>Actual Result</t>
  </si>
  <si>
    <t>Status</t>
  </si>
  <si>
    <t>Tested By</t>
  </si>
  <si>
    <t>Date</t>
  </si>
  <si>
    <t>TC-01</t>
  </si>
  <si>
    <t>FR-001, FR-005, FR-006</t>
  </si>
  <si>
    <t>Customer submits a complete loan application (happy path)</t>
  </si>
  <si>
    <t>1. Customer logs into the application channel.
2. Customer initiates a new loan application.
3. Customer completes all mandatory fields and clicks Submit.</t>
  </si>
  <si>
    <t>Valid customer profile; complete application data set</t>
  </si>
  <si>
    <t>A new application record is created with a unique application ID; application status updates to 'Submitted'.</t>
  </si>
  <si>
    <t>Application created with ID LN-20268841; status = Submitted.</t>
  </si>
  <si>
    <t>Pass</t>
  </si>
  <si>
    <t>Harsha Kardile</t>
  </si>
  <si>
    <t>24-Sep-26</t>
  </si>
  <si>
    <t>TC-02</t>
  </si>
  <si>
    <t>FR-003</t>
  </si>
  <si>
    <t>Customer attempts to submit an application with mandatory fields missing (negative)</t>
  </si>
  <si>
    <t>1. Customer starts a new application.
2. Customer leaves mandatory fields (e.g. loan amount) blank.
3. Customer clicks Submit.</t>
  </si>
  <si>
    <t>Application with 3 mandatory fields left blank</t>
  </si>
  <si>
    <t>System blocks submission and displays a validation error listing the missing mandatory fields.</t>
  </si>
  <si>
    <t>Submission blocked; validation message displayed correctly.</t>
  </si>
  <si>
    <t>TC-03</t>
  </si>
  <si>
    <t>FR-004</t>
  </si>
  <si>
    <t>Customer saves an incomplete application and resumes it later (edge case)</t>
  </si>
  <si>
    <t>1. Customer starts an application and completes 50% of fields.
2. Customer saves and exits.
3. Customer logs back in and reopens the saved application.</t>
  </si>
  <si>
    <t>Partially completed application (draft)</t>
  </si>
  <si>
    <t>Previously entered data is retained and the customer can continue from where they left off.</t>
  </si>
  <si>
    <t>Draft retained; all previously entered fields pre-populated correctly.</t>
  </si>
  <si>
    <t>TC-04</t>
  </si>
  <si>
    <t>FR-002</t>
  </si>
  <si>
    <t>Customer enters valid mandatory customer and loan details (happy path)</t>
  </si>
  <si>
    <t>1. Customer enters name, contact, income, and loan amount/tenure.
2. Customer proceeds to next step.</t>
  </si>
  <si>
    <t>Valid applicant profile: income ₹75,000/month; loan amount ₹5,00,000</t>
  </si>
  <si>
    <t>All entered information is accurately recorded against the application record.</t>
  </si>
  <si>
    <t>Data recorded correctly; visible in Loan Officer's application view.</t>
  </si>
  <si>
    <t>TC-05</t>
  </si>
  <si>
    <t>FR-007</t>
  </si>
  <si>
    <t>Customer submits a second application identical to an existing open application (negative)</t>
  </si>
  <si>
    <t>1. Customer submits Application A for a personal loan.
2. Customer attempts to submit a second, identical application for the same loan type before Application A is resolved.</t>
  </si>
  <si>
    <t>Two identical applications from the same customer ID</t>
  </si>
  <si>
    <t>System identifies the duplicate submission and prevents or flags it per defined business rules.</t>
  </si>
  <si>
    <t>Duplicate flagged with reference to original application ID.</t>
  </si>
  <si>
    <t>TC-06</t>
  </si>
  <si>
    <t>FR-011, FR-012</t>
  </si>
  <si>
    <t>Customer uploads all required documents in valid format (happy path)</t>
  </si>
  <si>
    <t>1. System displays required document checklist for the loan type.
2. Customer uploads ID proof, income proof, and address proof as PDF/JPEG.</t>
  </si>
  <si>
    <t>Valid PDF/JPEG files under 5 MB each</t>
  </si>
  <si>
    <t>All documents are successfully uploaded and associated with the application; checklist shows complete.</t>
  </si>
  <si>
    <t>All 3 documents uploaded and linked to application.</t>
  </si>
  <si>
    <t>TC-07</t>
  </si>
  <si>
    <t>FR-013</t>
  </si>
  <si>
    <t>Customer uploads a document exceeding the defined size/format limit (negative)</t>
  </si>
  <si>
    <t>1. Customer attempts to upload a 15 MB scanned file.
2. Customer attempts to upload a .exe file.</t>
  </si>
  <si>
    <t>Oversized file (15 MB); invalid file type (.exe)</t>
  </si>
  <si>
    <t>System rejects both files and displays a clear error message stating the file type/size requirements.</t>
  </si>
  <si>
    <t>Initial run: oversized file was accepted without error — see DEF-01.</t>
  </si>
  <si>
    <t>Fail (Retest: Pass)</t>
  </si>
  <si>
    <t>TC-08</t>
  </si>
  <si>
    <t>FR-017, FR-018</t>
  </si>
  <si>
    <t>Loan Officer marks a submitted document as requiring re-submission (edge case)</t>
  </si>
  <si>
    <t>1. Loan Officer reviews an uploaded document.
2. Loan Officer marks it as 'Requires re-submission' with a remark.</t>
  </si>
  <si>
    <t>Submitted document with poor scan quality</t>
  </si>
  <si>
    <t>Document status updates accordingly and the customer is notified of the required corrective action.</t>
  </si>
  <si>
    <t>Status updated; customer notification triggered.</t>
  </si>
  <si>
    <t>TC-09</t>
  </si>
  <si>
    <t>Application with all mandatory verification complete proceeds to approval stage (happy path)</t>
  </si>
  <si>
    <t>1. Complete document, KYC/AML, and credit verification for an application.
2. Attempt to move the application to the approval stage.</t>
  </si>
  <si>
    <t>Application with all 3 verification activities marked complete</t>
  </si>
  <si>
    <t>System allows the application to proceed to the final approval stage.</t>
  </si>
  <si>
    <t>Application successfully reached Approval stage.</t>
  </si>
  <si>
    <t>TC-10</t>
  </si>
  <si>
    <t>FR-046, BRL-04</t>
  </si>
  <si>
    <t>Application with pending mandatory verification attempts to proceed to approval (negative)</t>
  </si>
  <si>
    <t>1. Leave KYC/AML verification incomplete for an application.
2. Attempt to move the application to the approval stage.</t>
  </si>
  <si>
    <t>Application with credit verification complete but KYC/AML pending</t>
  </si>
  <si>
    <t>System blocks progression to approval until all mandatory eligibility/verification conditions are satisfied.</t>
  </si>
  <si>
    <t>Progression blocked with message identifying the pending KYC/AML step.</t>
  </si>
  <si>
    <t>TC-11</t>
  </si>
  <si>
    <t>FR-033</t>
  </si>
  <si>
    <t>Credit Risk user records the credit assessment outcome (happy path)</t>
  </si>
  <si>
    <t>1. Credit Risk user opens an application pending credit assessment.
2. User records the assessment outcome and remarks.</t>
  </si>
  <si>
    <t>Application with credit bureau report available</t>
  </si>
  <si>
    <t>Credit assessment result is stored and linked to the application record.</t>
  </si>
  <si>
    <t>Assessment outcome recorded and visible in verification summary.</t>
  </si>
  <si>
    <t>TC-12</t>
  </si>
  <si>
    <t>FR-036</t>
  </si>
  <si>
    <t>Application attempts to move to approval stage with credit assessment incomplete (negative)</t>
  </si>
  <si>
    <t>1. Leave credit assessment status as 'Pending' for an application.
2. Attempt to move the application to the approval stage.</t>
  </si>
  <si>
    <t>Application with incomplete credit assessment</t>
  </si>
  <si>
    <t>System prevents the application from progressing to the approval stage.</t>
  </si>
  <si>
    <t>Initial run: application incorrectly allowed to reach Approval stage — see DEF-02.</t>
  </si>
  <si>
    <t>TC-13</t>
  </si>
  <si>
    <t>FR-035</t>
  </si>
  <si>
    <t>Application is flagged as higher-risk based on defined credit rules (edge case)</t>
  </si>
  <si>
    <t>1. Submit an application with a credit profile matching a defined high-risk rule (e.g. low credit score).
2. System evaluates the credit assessment.</t>
  </si>
  <si>
    <t>Applicant credit score below defined threshold</t>
  </si>
  <si>
    <t>System flags the application for additional credit-risk review.</t>
  </si>
  <si>
    <t>Application correctly flagged as 'High Risk – Additional Review Required'.</t>
  </si>
  <si>
    <t>TC-14</t>
  </si>
  <si>
    <t>FR-021, FR-031</t>
  </si>
  <si>
    <t>KYC/AML and Credit Risk verification are initiated concurrently (happy path)</t>
  </si>
  <si>
    <t>1. Submit a complete application.
2. Confirm both KYC/AML and Credit Risk verification tasks are created and available to their respective teams at the same time.</t>
  </si>
  <si>
    <t>Newly submitted, complete application</t>
  </si>
  <si>
    <t>Both verification activities can proceed independently without one waiting on the other.</t>
  </si>
  <si>
    <t>Both verification tasks appeared simultaneously in their respective queues.</t>
  </si>
  <si>
    <t>TC-15</t>
  </si>
  <si>
    <t>FR-030, FR-040</t>
  </si>
  <si>
    <t>One verification stream completes before the other (edge case)</t>
  </si>
  <si>
    <t>1. Complete KYC/AML verification for an application.
2. Leave credit-risk verification in progress.
3. Check downstream visibility of both statuses.</t>
  </si>
  <si>
    <t>Application with KYC/AML = Complete, Credit Risk = In Progress</t>
  </si>
  <si>
    <t>Downstream users see the accurate, independent status of each verification stream.</t>
  </si>
  <si>
    <t>KYC/AML shown Complete; Credit Risk shown In Progress — accurately reflected.</t>
  </si>
  <si>
    <t>TC-16</t>
  </si>
  <si>
    <t>FR-041, FR-042</t>
  </si>
  <si>
    <t>All verification results consolidate into a single summary (happy path)</t>
  </si>
  <si>
    <t>1. Complete document, KYC/AML, and credit verification for an application.
2. Trigger consolidation.</t>
  </si>
  <si>
    <t>Application with all 3 verification streams complete</t>
  </si>
  <si>
    <t>A consolidated verification summary is generated and available for review.</t>
  </si>
  <si>
    <t>Consolidated summary generated correctly with all 3 results.</t>
  </si>
  <si>
    <t>TC-17</t>
  </si>
  <si>
    <t>FR-043</t>
  </si>
  <si>
    <t>Consolidation attempted while one verification activity is still outstanding (negative)</t>
  </si>
  <si>
    <t>1. Leave document verification incomplete.
2. Trigger consolidation for the application.</t>
  </si>
  <si>
    <t>Application with document verification pending</t>
  </si>
  <si>
    <t>System identifies the outstanding activity and does not mark consolidation as complete.</t>
  </si>
  <si>
    <t>Outstanding document verification correctly identified and displayed.</t>
  </si>
  <si>
    <t>TC-18</t>
  </si>
  <si>
    <t>FR-044</t>
  </si>
  <si>
    <t>Consolidated summary includes a flagged exception item (edge case)</t>
  </si>
  <si>
    <t>1. Complete verification with one flagged exception (e.g. AML review required).
2. View the consolidated summary.</t>
  </si>
  <si>
    <t>Application with 1 flagged AML exception</t>
  </si>
  <si>
    <t>The exception is clearly highlighted to the authorized reviewer within the consolidated summary.</t>
  </si>
  <si>
    <t>Exception item highlighted in amber with description visible.</t>
  </si>
  <si>
    <t>TC-19</t>
  </si>
  <si>
    <t>FR-053, FR-058</t>
  </si>
  <si>
    <t>Authorized Approver approves an application meeting all criteria (happy path)</t>
  </si>
  <si>
    <t>1. Approver opens an application with all verification conditions satisfied.
2. Approver clicks Approve.</t>
  </si>
  <si>
    <t>Application meeting all defined approval criteria</t>
  </si>
  <si>
    <t>Application status updates to Approved; decision, date/time, and approver are recorded.</t>
  </si>
  <si>
    <t>Status = Approved; decision log shows approver and timestamp.</t>
  </si>
  <si>
    <t>TC-20</t>
  </si>
  <si>
    <t>FR-054, FR-056</t>
  </si>
  <si>
    <t>Authorized Approver rejects an application with a mandatory reason (happy path)</t>
  </si>
  <si>
    <t>1. Approver opens an application not meeting approval criteria.
2. Approver selects Reject and enters a rejection reason.</t>
  </si>
  <si>
    <t>Application not meeting minimum credit criteria</t>
  </si>
  <si>
    <t>Application status updates to Rejected; rejection reason is documented against the application.</t>
  </si>
  <si>
    <t>Status = Rejected; reason field populated and stored.</t>
  </si>
  <si>
    <t>TC-21</t>
  </si>
  <si>
    <t>FR-057</t>
  </si>
  <si>
    <t>Approval attempted on an application with incomplete mandatory conditions (negative)</t>
  </si>
  <si>
    <t>1. Leave one mandatory verification condition incomplete.
2. Approver attempts to click Approve.</t>
  </si>
  <si>
    <t>Application with pending KYC/AML verification</t>
  </si>
  <si>
    <t>System prevents the approval action from completing.</t>
  </si>
  <si>
    <t>Initial run: system allowed the Approve action to complete — see DEF-03.</t>
  </si>
  <si>
    <t>TC-22</t>
  </si>
  <si>
    <t>FR-062</t>
  </si>
  <si>
    <t>Application status updates automatically as it moves between stages (happy path)</t>
  </si>
  <si>
    <t>1. Move an application from Document Verification to KYC/AML stage.
2. Check the displayed status.</t>
  </si>
  <si>
    <t>Application progressing through normal workflow</t>
  </si>
  <si>
    <t>Current status reflects the latest processing stage without manual intervention.</t>
  </si>
  <si>
    <t>Status updated from 'Document Verification' to 'KYC/AML in Progress' automatically.</t>
  </si>
  <si>
    <t>TC-23</t>
  </si>
  <si>
    <t>FR-067</t>
  </si>
  <si>
    <t>Application remains in a stage beyond the defined expected processing time (edge case)</t>
  </si>
  <si>
    <t>1. Leave an application in Credit Risk Assessment stage beyond the defined SLA.
2. Check the delayed-applications view.</t>
  </si>
  <si>
    <t>Application aged beyond 3-day SLA in one stage</t>
  </si>
  <si>
    <t>System identifies the application as delayed and surfaces it for follow-up.</t>
  </si>
  <si>
    <t>Application correctly listed under 'Applications Requiring Attention'.</t>
  </si>
  <si>
    <t>TC-24</t>
  </si>
  <si>
    <t>FR-071</t>
  </si>
  <si>
    <t>Customer receives confirmation notification on successful submission (happy path)</t>
  </si>
  <si>
    <t>1. Customer submits a complete application.
2. Check customer's registered notification channel (email/SMS/in-app).</t>
  </si>
  <si>
    <t>Newly submitted application</t>
  </si>
  <si>
    <t>Customer receives a confirmation notification referencing the application ID.</t>
  </si>
  <si>
    <t>Confirmation notification received within expected time.</t>
  </si>
  <si>
    <t>TC-25</t>
  </si>
  <si>
    <t>FR-076</t>
  </si>
  <si>
    <t>Customer is notified of the final decision (happy path)</t>
  </si>
  <si>
    <t>1. Approver approves an application.
2. Check the customer's notification channel.</t>
  </si>
  <si>
    <t>Application with final decision = Approved</t>
  </si>
  <si>
    <t>Customer receives a notification including the application reference and the decision outcome.</t>
  </si>
  <si>
    <t>Notification received with correct application ID and outcome.</t>
  </si>
  <si>
    <t>TC-26</t>
  </si>
  <si>
    <t>FR-079</t>
  </si>
  <si>
    <t>Unauthorized user attempts to access another customer's notification data (negative)</t>
  </si>
  <si>
    <t>1. Log in as Customer B.
2. Attempt to access Customer A's notification/application history via direct URL manipulation.</t>
  </si>
  <si>
    <t>Two distinct customer accounts</t>
  </si>
  <si>
    <t>Access is denied; Customer B cannot view Customer A's notification data.</t>
  </si>
  <si>
    <t>Initial run: partial notification metadata was briefly visible in session cache — see DEF-04.</t>
  </si>
  <si>
    <t>Loan disbursement processing for an approved application (blocked — gap)</t>
  </si>
  <si>
    <t>1. Attempt to trace disbursement processing steps for an Approved application within the current FRD scope.</t>
  </si>
  <si>
    <t>Application with status = Approved</t>
  </si>
  <si>
    <t>Cannot be defined — no functional requirement currently exists for disbursement processing in the FRD.</t>
  </si>
  <si>
    <t>Not testable in current build. Gap raised as DEF-05 for BA/Dev follow-up.</t>
  </si>
  <si>
    <t>Blocked</t>
  </si>
  <si>
    <t>TC-28</t>
  </si>
  <si>
    <t>FR-093, FR-095</t>
  </si>
  <si>
    <t>Authorized user views the full audit history of an application (happy path)</t>
  </si>
  <si>
    <t>1. Authorized Loan Officer opens a fully processed application.
2. User navigates to the Audit History tab.</t>
  </si>
  <si>
    <t>Application that has completed submission, verification, and approval</t>
  </si>
  <si>
    <t>A complete, chronological record of all key activities is displayed.</t>
  </si>
  <si>
    <t>Full audit history displayed in correct chronological order.</t>
  </si>
  <si>
    <t>TC-29</t>
  </si>
  <si>
    <t>FR-096</t>
  </si>
  <si>
    <t>Unauthorized user attempts to view the audit trail (negative)</t>
  </si>
  <si>
    <t>1. Log in as a user without audit-view permissions.
2. Attempt to open the Audit History tab for an application.</t>
  </si>
  <si>
    <t>User role without audit-history permission</t>
  </si>
  <si>
    <t>Access to the audit trail is denied for the unauthorized role.</t>
  </si>
  <si>
    <t>Access denied with appropriate permissions message.</t>
  </si>
  <si>
    <t>TC-30</t>
  </si>
  <si>
    <t>NFR-008, NFR-009</t>
  </si>
  <si>
    <t>User with 'Loan Officer' role cannot access approval functions (happy path)</t>
  </si>
  <si>
    <t>1. Log in as a Loan Officer.
2. Attempt to access the Approve/Reject action on an application.</t>
  </si>
  <si>
    <t>User account with Loan Officer role only</t>
  </si>
  <si>
    <t>Approval functions are not accessible; role-based restriction is enforced.</t>
  </si>
  <si>
    <t>Approve/Reject controls not visible/accessible to Loan Officer role.</t>
  </si>
  <si>
    <t>TC-31</t>
  </si>
  <si>
    <t>NFR-008</t>
  </si>
  <si>
    <t>User without KYC/AML role attempts to access the compliance verification screen (negative)</t>
  </si>
  <si>
    <t>1. Log in as a Loan Officer (non-Compliance role).
2. Attempt to navigate directly to the KYC/AML verification screen.</t>
  </si>
  <si>
    <t>User account without Compliance/KYC-AML role</t>
  </si>
  <si>
    <t>Access to the KYC/AML verification screen is denied.</t>
  </si>
  <si>
    <t>Access denied with role-restriction message.</t>
  </si>
  <si>
    <t>TC-32</t>
  </si>
  <si>
    <t>FR-092, FR-094</t>
  </si>
  <si>
    <t>Key actions are recorded with date, time, and responsible user (happy path)</t>
  </si>
  <si>
    <t>1. Approve an application.
2. Check the audit record generated for the approval action.</t>
  </si>
  <si>
    <t>Application processed through to an approval decision</t>
  </si>
  <si>
    <t>A fully traceable record is created showing the action, date, time, and responsible user.</t>
  </si>
  <si>
    <t>Audit record generated with all required fields populated.</t>
  </si>
  <si>
    <t>TC-33</t>
  </si>
  <si>
    <t>FR-097</t>
  </si>
  <si>
    <t>Attempt to modify or delete an existing audit record (negative)</t>
  </si>
  <si>
    <t>1. Log in as an Administrator.
2. Attempt to edit or delete a historical audit log entry.</t>
  </si>
  <si>
    <t>Existing, finalized audit record</t>
  </si>
  <si>
    <t>System prevents modification or deletion of the audit record.</t>
  </si>
  <si>
    <t>Edit/Delete actions blocked; record remained unchanged.</t>
  </si>
  <si>
    <t>Defect Log</t>
  </si>
  <si>
    <t>Defect ID</t>
  </si>
  <si>
    <t>Related TC ID</t>
  </si>
  <si>
    <t>Description</t>
  </si>
  <si>
    <t>Severity</t>
  </si>
  <si>
    <t>Reported Date</t>
  </si>
  <si>
    <t>Fixed Date</t>
  </si>
  <si>
    <t>Reported By</t>
  </si>
  <si>
    <t>DEF-01</t>
  </si>
  <si>
    <t>System accepted a document upload exceeding the defined file size limit without displaying a validation error.</t>
  </si>
  <si>
    <t>Medium</t>
  </si>
  <si>
    <t>Closed (Fixed &amp; Retested)</t>
  </si>
  <si>
    <t>22-Sep-26</t>
  </si>
  <si>
    <t>23-Sep-26</t>
  </si>
  <si>
    <t>DEF-02</t>
  </si>
  <si>
    <t>Application was allowed to move to the Approval stage despite the credit assessment being incomplete.</t>
  </si>
  <si>
    <t>High</t>
  </si>
  <si>
    <t>DEF-03</t>
  </si>
  <si>
    <t>Approver was able to complete the Approve action on an application with a pending mandatory KYC/AML verification.</t>
  </si>
  <si>
    <t>Critical</t>
  </si>
  <si>
    <t>DEF-04</t>
  </si>
  <si>
    <t>Notification metadata belonging to one customer was briefly visible in another authenticated customer's session cache.</t>
  </si>
  <si>
    <t>DEF-05</t>
  </si>
  <si>
    <t>TC-27 / BR-11</t>
  </si>
  <si>
    <t>No functional requirement is currently defined in the FRD for loan disbursement processing (post-approval). Raised to the BA/Dev team to add a dedicated Disbursement Processing FR section.</t>
  </si>
  <si>
    <t>Open — Pending FRD Update</t>
  </si>
  <si>
    <t>User Acceptance Testing (UAT) — Summary &amp; Sign-off</t>
  </si>
  <si>
    <t>Digital Loan Origination System — NovaTrust Bank | Phase 5</t>
  </si>
  <si>
    <t>UAT Period: 22-Sep-2026 to 24-Sep-2026      Prepared by: Harshada Kardile, Business Analyst</t>
  </si>
  <si>
    <t>1. UAT Summary</t>
  </si>
  <si>
    <t>Total Requirements (BR) in Scope</t>
  </si>
  <si>
    <t>Total Test Cases Executed</t>
  </si>
  <si>
    <t>Test Cases Passed</t>
  </si>
  <si>
    <t>Test Cases Failed (initial run, before fix)</t>
  </si>
  <si>
    <t>Test Cases Blocked (gap — no FR defined)</t>
  </si>
  <si>
    <t>Total Defects Raised</t>
  </si>
  <si>
    <t>Defects Closed (Fixed &amp; Retested)</t>
  </si>
  <si>
    <t>Defects Open</t>
  </si>
  <si>
    <t>Overall UAT Result:</t>
  </si>
  <si>
    <t>2. Stakeholder Sign-off</t>
  </si>
  <si>
    <t>Stakeholder</t>
  </si>
  <si>
    <t>Role</t>
  </si>
  <si>
    <t>Decision</t>
  </si>
  <si>
    <t>Comments</t>
  </si>
  <si>
    <t>Sameer Joshi</t>
  </si>
  <si>
    <t>Operations Manager (UAT Owner)</t>
  </si>
  <si>
    <t>Approved</t>
  </si>
  <si>
    <t>All in-scope test cases executed; open defects resolved and retested.</t>
  </si>
  <si>
    <t>Arvind Sethi</t>
  </si>
  <si>
    <t>Credit Risk Manager</t>
  </si>
  <si>
    <t>Credit assessment and eligibility-gating scenarios validated.</t>
  </si>
  <si>
    <t>Kavita Rao</t>
  </si>
  <si>
    <t>Compliance Officer</t>
  </si>
  <si>
    <t>KYC/AML and audit-trail controls validated; DEF-04 closed satisfactorily.</t>
  </si>
  <si>
    <t>Rajeev Malhotra</t>
  </si>
  <si>
    <t>Head of Retail Lending (Sponsor)</t>
  </si>
  <si>
    <t>Conditionally Approved</t>
  </si>
  <si>
    <t>Approved for go-live; DEF-05 (disbursement FR gap) to be tracked and closed in the next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</si>
</sst>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b/>
      <sz val="13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name val="Arial"/>
      <charset val="1"/>
    </font>
    <font>
      <b/>
      <sz val="11"/>
      <color rgb="FFC17817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1" fillId="6" borderId="1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8" fillId="0" borderId="0" xfId="0" applyFont="1"/>
    <xf numFmtId="0" fontId="4" fillId="0" borderId="1" xfId="0" applyFont="1" applyBorder="1"/>
    <xf numFmtId="0" fontId="9" fillId="5" borderId="1" xfId="0" applyFont="1" applyFill="1" applyBorder="1" applyAlignment="1">
      <alignment horizontal="center"/>
    </xf>
    <xf numFmtId="0" fontId="10" fillId="0" borderId="1" xfId="0" applyFont="1" applyBorder="1"/>
    <xf numFmtId="0" fontId="12" fillId="4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6" fillId="0" borderId="2" xfId="0" applyFont="1" applyBorder="1"/>
    <xf numFmtId="0" fontId="0" fillId="0" borderId="3" xfId="0" applyBorder="1"/>
    <xf numFmtId="0" fontId="4" fillId="0" borderId="4" xfId="0" applyFont="1" applyBorder="1"/>
    <xf numFmtId="0" fontId="7" fillId="0" borderId="5" xfId="0" applyFont="1" applyBorder="1"/>
    <xf numFmtId="0" fontId="4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17817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zoomScaleNormal="100" workbookViewId="0">
      <pane ySplit="5" topLeftCell="A12" activePane="bottomLeft" state="frozen"/>
      <selection pane="bottomLeft" activeCell="A5" sqref="A5:H19"/>
    </sheetView>
  </sheetViews>
  <sheetFormatPr defaultColWidth="8.7109375" defaultRowHeight="15" x14ac:dyDescent="0.25"/>
  <cols>
    <col min="1" max="1" width="10.5703125" bestFit="1" customWidth="1"/>
    <col min="2" max="2" width="45.140625" bestFit="1" customWidth="1"/>
    <col min="3" max="3" width="20.140625" bestFit="1" customWidth="1"/>
    <col min="4" max="4" width="16.85546875" bestFit="1" customWidth="1"/>
    <col min="5" max="5" width="18.85546875" bestFit="1" customWidth="1"/>
    <col min="6" max="6" width="14.85546875" bestFit="1" customWidth="1"/>
    <col min="7" max="7" width="15" customWidth="1"/>
    <col min="8" max="8" width="45.5703125" bestFit="1" customWidth="1"/>
  </cols>
  <sheetData>
    <row r="1" spans="1:8" ht="19.5" customHeight="1" x14ac:dyDescent="0.3">
      <c r="A1" s="2" t="s">
        <v>0</v>
      </c>
    </row>
    <row r="2" spans="1:8" ht="15" customHeight="1" x14ac:dyDescent="0.25">
      <c r="A2" s="3" t="s">
        <v>1</v>
      </c>
    </row>
    <row r="3" spans="1:8" ht="15" customHeight="1" x14ac:dyDescent="0.25">
      <c r="A3" s="3" t="s">
        <v>2</v>
      </c>
    </row>
    <row r="5" spans="1:8" ht="25.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25.5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6" t="s">
        <v>17</v>
      </c>
      <c r="H6" s="5"/>
    </row>
    <row r="7" spans="1:8" ht="25.5" x14ac:dyDescent="0.25">
      <c r="A7" s="7" t="s">
        <v>18</v>
      </c>
      <c r="B7" s="7" t="s">
        <v>19</v>
      </c>
      <c r="C7" s="7" t="s">
        <v>20</v>
      </c>
      <c r="D7" s="7" t="s">
        <v>14</v>
      </c>
      <c r="E7" s="7" t="s">
        <v>21</v>
      </c>
      <c r="F7" s="7" t="s">
        <v>16</v>
      </c>
      <c r="G7" s="6" t="s">
        <v>17</v>
      </c>
      <c r="H7" s="7"/>
    </row>
    <row r="8" spans="1:8" ht="25.5" x14ac:dyDescent="0.25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16</v>
      </c>
      <c r="G8" s="6" t="s">
        <v>17</v>
      </c>
      <c r="H8" s="5"/>
    </row>
    <row r="9" spans="1:8" ht="38.25" x14ac:dyDescent="0.25">
      <c r="A9" s="7" t="s">
        <v>27</v>
      </c>
      <c r="B9" s="7" t="s">
        <v>28</v>
      </c>
      <c r="C9" s="7" t="s">
        <v>29</v>
      </c>
      <c r="D9" s="7" t="s">
        <v>30</v>
      </c>
      <c r="E9" s="7" t="s">
        <v>31</v>
      </c>
      <c r="F9" s="7" t="s">
        <v>16</v>
      </c>
      <c r="G9" s="8" t="s">
        <v>32</v>
      </c>
      <c r="H9" s="7" t="s">
        <v>33</v>
      </c>
    </row>
    <row r="10" spans="1:8" ht="25.5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16</v>
      </c>
      <c r="G10" s="6" t="s">
        <v>17</v>
      </c>
      <c r="H10" s="5"/>
    </row>
    <row r="11" spans="1:8" ht="25.5" x14ac:dyDescent="0.25">
      <c r="A11" s="7" t="s">
        <v>39</v>
      </c>
      <c r="B11" s="7" t="s">
        <v>40</v>
      </c>
      <c r="C11" s="7" t="s">
        <v>41</v>
      </c>
      <c r="D11" s="7" t="s">
        <v>42</v>
      </c>
      <c r="E11" s="7" t="s">
        <v>43</v>
      </c>
      <c r="F11" s="7" t="s">
        <v>16</v>
      </c>
      <c r="G11" s="6" t="s">
        <v>17</v>
      </c>
      <c r="H11" s="7"/>
    </row>
    <row r="12" spans="1:8" ht="25.5" x14ac:dyDescent="0.25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16</v>
      </c>
      <c r="G12" s="6" t="s">
        <v>17</v>
      </c>
      <c r="H12" s="5"/>
    </row>
    <row r="13" spans="1:8" ht="25.5" x14ac:dyDescent="0.25">
      <c r="A13" s="7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16</v>
      </c>
      <c r="G13" s="6" t="s">
        <v>17</v>
      </c>
      <c r="H13" s="7"/>
    </row>
    <row r="14" spans="1:8" ht="25.5" x14ac:dyDescent="0.25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58</v>
      </c>
      <c r="F14" s="5" t="s">
        <v>16</v>
      </c>
      <c r="G14" s="6" t="s">
        <v>17</v>
      </c>
      <c r="H14" s="5"/>
    </row>
    <row r="15" spans="1:8" ht="25.5" x14ac:dyDescent="0.25">
      <c r="A15" s="7" t="s">
        <v>59</v>
      </c>
      <c r="B15" s="7" t="s">
        <v>60</v>
      </c>
      <c r="C15" s="7" t="s">
        <v>61</v>
      </c>
      <c r="D15" s="7" t="s">
        <v>62</v>
      </c>
      <c r="E15" s="7" t="s">
        <v>63</v>
      </c>
      <c r="F15" s="7" t="s">
        <v>16</v>
      </c>
      <c r="G15" s="6" t="s">
        <v>17</v>
      </c>
      <c r="H15" s="7"/>
    </row>
    <row r="16" spans="1:8" ht="38.25" x14ac:dyDescent="0.25">
      <c r="A16" s="5" t="s">
        <v>64</v>
      </c>
      <c r="B16" s="5" t="s">
        <v>65</v>
      </c>
      <c r="C16" s="5" t="s">
        <v>66</v>
      </c>
      <c r="D16" s="5" t="s">
        <v>67</v>
      </c>
      <c r="E16" s="5" t="s">
        <v>68</v>
      </c>
      <c r="F16" s="5" t="s">
        <v>16</v>
      </c>
      <c r="G16" s="9" t="s">
        <v>69</v>
      </c>
      <c r="H16" s="5" t="s">
        <v>70</v>
      </c>
    </row>
    <row r="17" spans="1:8" ht="38.25" x14ac:dyDescent="0.25">
      <c r="A17" s="7" t="s">
        <v>71</v>
      </c>
      <c r="B17" s="7" t="s">
        <v>72</v>
      </c>
      <c r="C17" s="7" t="s">
        <v>73</v>
      </c>
      <c r="D17" s="7" t="s">
        <v>74</v>
      </c>
      <c r="E17" s="7" t="s">
        <v>75</v>
      </c>
      <c r="F17" s="7" t="s">
        <v>16</v>
      </c>
      <c r="G17" s="6" t="s">
        <v>17</v>
      </c>
      <c r="H17" s="7"/>
    </row>
    <row r="18" spans="1:8" ht="38.25" x14ac:dyDescent="0.25">
      <c r="A18" s="5" t="s">
        <v>76</v>
      </c>
      <c r="B18" s="5" t="s">
        <v>77</v>
      </c>
      <c r="C18" s="5" t="s">
        <v>78</v>
      </c>
      <c r="D18" s="5" t="s">
        <v>79</v>
      </c>
      <c r="E18" s="5" t="s">
        <v>80</v>
      </c>
      <c r="F18" s="5" t="s">
        <v>16</v>
      </c>
      <c r="G18" s="6" t="s">
        <v>17</v>
      </c>
      <c r="H18" s="5" t="s">
        <v>81</v>
      </c>
    </row>
    <row r="19" spans="1:8" ht="25.5" x14ac:dyDescent="0.25">
      <c r="A19" s="7" t="s">
        <v>82</v>
      </c>
      <c r="B19" s="7" t="s">
        <v>83</v>
      </c>
      <c r="C19" s="7" t="s">
        <v>73</v>
      </c>
      <c r="D19" s="7" t="s">
        <v>74</v>
      </c>
      <c r="E19" s="7" t="s">
        <v>84</v>
      </c>
      <c r="F19" s="7" t="s">
        <v>16</v>
      </c>
      <c r="G19" s="6" t="s">
        <v>17</v>
      </c>
      <c r="H19" s="7"/>
    </row>
    <row r="21" spans="1:8" ht="15" customHeight="1" x14ac:dyDescent="0.25">
      <c r="A21" s="16" t="s">
        <v>85</v>
      </c>
      <c r="B21" s="17"/>
    </row>
    <row r="22" spans="1:8" ht="15" customHeight="1" x14ac:dyDescent="0.25">
      <c r="A22" s="18" t="s">
        <v>17</v>
      </c>
      <c r="B22" s="19">
        <f>COUNTIF(G6:G19,"Fully Covered")</f>
        <v>12</v>
      </c>
    </row>
    <row r="23" spans="1:8" ht="15" customHeight="1" x14ac:dyDescent="0.25">
      <c r="A23" s="18" t="s">
        <v>32</v>
      </c>
      <c r="B23" s="19">
        <f>COUNTIF(G6:G19,"Partially Covered")</f>
        <v>1</v>
      </c>
    </row>
    <row r="24" spans="1:8" ht="15" customHeight="1" x14ac:dyDescent="0.25">
      <c r="A24" s="20" t="s">
        <v>86</v>
      </c>
      <c r="B24" s="21">
        <f>COUNTIF(G6:G19,"GAP")</f>
        <v>1</v>
      </c>
    </row>
  </sheetData>
  <autoFilter ref="A5:H1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2" width="8" customWidth="1"/>
    <col min="3" max="3" width="18" customWidth="1"/>
    <col min="4" max="4" width="34" customWidth="1"/>
    <col min="5" max="5" width="42" customWidth="1"/>
    <col min="6" max="6" width="26" customWidth="1"/>
    <col min="7" max="7" width="38" customWidth="1"/>
    <col min="8" max="8" width="34" customWidth="1"/>
    <col min="9" max="9" width="16" customWidth="1"/>
    <col min="10" max="10" width="14" customWidth="1"/>
    <col min="11" max="11" width="11" customWidth="1"/>
  </cols>
  <sheetData>
    <row r="1" spans="1:11" ht="19.5" customHeight="1" x14ac:dyDescent="0.3">
      <c r="A1" s="2" t="s">
        <v>87</v>
      </c>
    </row>
    <row r="2" spans="1:11" ht="15" customHeight="1" x14ac:dyDescent="0.25">
      <c r="A2" s="3" t="s">
        <v>88</v>
      </c>
    </row>
    <row r="3" spans="1:11" ht="15" customHeight="1" x14ac:dyDescent="0.25">
      <c r="A3" s="3" t="s">
        <v>89</v>
      </c>
    </row>
    <row r="5" spans="1:11" ht="31.5" customHeight="1" x14ac:dyDescent="0.25">
      <c r="A5" s="4" t="s">
        <v>90</v>
      </c>
      <c r="B5" s="4" t="s">
        <v>3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 t="s">
        <v>96</v>
      </c>
      <c r="I5" s="4" t="s">
        <v>97</v>
      </c>
      <c r="J5" s="4" t="s">
        <v>98</v>
      </c>
      <c r="K5" s="4" t="s">
        <v>99</v>
      </c>
    </row>
    <row r="6" spans="1:11" ht="45.75" customHeight="1" x14ac:dyDescent="0.25">
      <c r="A6" s="5" t="s">
        <v>100</v>
      </c>
      <c r="B6" s="5" t="s">
        <v>11</v>
      </c>
      <c r="C6" s="5" t="s">
        <v>101</v>
      </c>
      <c r="D6" s="5" t="s">
        <v>102</v>
      </c>
      <c r="E6" s="5" t="s">
        <v>103</v>
      </c>
      <c r="F6" s="5" t="s">
        <v>104</v>
      </c>
      <c r="G6" s="5" t="s">
        <v>105</v>
      </c>
      <c r="H6" s="5" t="s">
        <v>106</v>
      </c>
      <c r="I6" s="6" t="s">
        <v>107</v>
      </c>
      <c r="J6" s="5" t="s">
        <v>108</v>
      </c>
      <c r="K6" s="5" t="s">
        <v>109</v>
      </c>
    </row>
    <row r="7" spans="1:11" ht="45.75" customHeight="1" x14ac:dyDescent="0.25">
      <c r="A7" s="7" t="s">
        <v>110</v>
      </c>
      <c r="B7" s="7" t="s">
        <v>11</v>
      </c>
      <c r="C7" s="7" t="s">
        <v>111</v>
      </c>
      <c r="D7" s="7" t="s">
        <v>112</v>
      </c>
      <c r="E7" s="7" t="s">
        <v>113</v>
      </c>
      <c r="F7" s="7" t="s">
        <v>114</v>
      </c>
      <c r="G7" s="7" t="s">
        <v>115</v>
      </c>
      <c r="H7" s="7" t="s">
        <v>116</v>
      </c>
      <c r="I7" s="6" t="s">
        <v>107</v>
      </c>
      <c r="J7" s="7" t="s">
        <v>108</v>
      </c>
      <c r="K7" s="7" t="s">
        <v>109</v>
      </c>
    </row>
    <row r="8" spans="1:11" ht="57" customHeight="1" x14ac:dyDescent="0.25">
      <c r="A8" s="5" t="s">
        <v>117</v>
      </c>
      <c r="B8" s="5" t="s">
        <v>11</v>
      </c>
      <c r="C8" s="5" t="s">
        <v>118</v>
      </c>
      <c r="D8" s="5" t="s">
        <v>119</v>
      </c>
      <c r="E8" s="5" t="s">
        <v>120</v>
      </c>
      <c r="F8" s="5" t="s">
        <v>121</v>
      </c>
      <c r="G8" s="5" t="s">
        <v>122</v>
      </c>
      <c r="H8" s="5" t="s">
        <v>123</v>
      </c>
      <c r="I8" s="6" t="s">
        <v>107</v>
      </c>
      <c r="J8" s="5" t="s">
        <v>108</v>
      </c>
      <c r="K8" s="5" t="s">
        <v>109</v>
      </c>
    </row>
    <row r="9" spans="1:11" ht="34.5" customHeight="1" x14ac:dyDescent="0.25">
      <c r="A9" s="7" t="s">
        <v>124</v>
      </c>
      <c r="B9" s="7" t="s">
        <v>18</v>
      </c>
      <c r="C9" s="7" t="s">
        <v>125</v>
      </c>
      <c r="D9" s="7" t="s">
        <v>126</v>
      </c>
      <c r="E9" s="7" t="s">
        <v>127</v>
      </c>
      <c r="F9" s="7" t="s">
        <v>128</v>
      </c>
      <c r="G9" s="7" t="s">
        <v>129</v>
      </c>
      <c r="H9" s="7" t="s">
        <v>130</v>
      </c>
      <c r="I9" s="6" t="s">
        <v>107</v>
      </c>
      <c r="J9" s="7" t="s">
        <v>108</v>
      </c>
      <c r="K9" s="7" t="s">
        <v>109</v>
      </c>
    </row>
    <row r="10" spans="1:11" ht="57" customHeight="1" x14ac:dyDescent="0.25">
      <c r="A10" s="5" t="s">
        <v>131</v>
      </c>
      <c r="B10" s="5" t="s">
        <v>18</v>
      </c>
      <c r="C10" s="5" t="s">
        <v>132</v>
      </c>
      <c r="D10" s="5" t="s">
        <v>133</v>
      </c>
      <c r="E10" s="5" t="s">
        <v>134</v>
      </c>
      <c r="F10" s="5" t="s">
        <v>135</v>
      </c>
      <c r="G10" s="5" t="s">
        <v>136</v>
      </c>
      <c r="H10" s="5" t="s">
        <v>137</v>
      </c>
      <c r="I10" s="6" t="s">
        <v>107</v>
      </c>
      <c r="J10" s="5" t="s">
        <v>108</v>
      </c>
      <c r="K10" s="5" t="s">
        <v>109</v>
      </c>
    </row>
    <row r="11" spans="1:11" ht="45.75" customHeight="1" x14ac:dyDescent="0.25">
      <c r="A11" s="7" t="s">
        <v>138</v>
      </c>
      <c r="B11" s="7" t="s">
        <v>22</v>
      </c>
      <c r="C11" s="7" t="s">
        <v>139</v>
      </c>
      <c r="D11" s="7" t="s">
        <v>140</v>
      </c>
      <c r="E11" s="7" t="s">
        <v>141</v>
      </c>
      <c r="F11" s="7" t="s">
        <v>142</v>
      </c>
      <c r="G11" s="7" t="s">
        <v>143</v>
      </c>
      <c r="H11" s="7" t="s">
        <v>144</v>
      </c>
      <c r="I11" s="6" t="s">
        <v>107</v>
      </c>
      <c r="J11" s="7" t="s">
        <v>108</v>
      </c>
      <c r="K11" s="7" t="s">
        <v>109</v>
      </c>
    </row>
    <row r="12" spans="1:11" ht="34.5" customHeight="1" x14ac:dyDescent="0.25">
      <c r="A12" s="5" t="s">
        <v>145</v>
      </c>
      <c r="B12" s="5" t="s">
        <v>22</v>
      </c>
      <c r="C12" s="5" t="s">
        <v>146</v>
      </c>
      <c r="D12" s="5" t="s">
        <v>147</v>
      </c>
      <c r="E12" s="5" t="s">
        <v>148</v>
      </c>
      <c r="F12" s="5" t="s">
        <v>149</v>
      </c>
      <c r="G12" s="5" t="s">
        <v>150</v>
      </c>
      <c r="H12" s="5" t="s">
        <v>151</v>
      </c>
      <c r="I12" s="8" t="s">
        <v>152</v>
      </c>
      <c r="J12" s="5" t="s">
        <v>108</v>
      </c>
      <c r="K12" s="5" t="s">
        <v>109</v>
      </c>
    </row>
    <row r="13" spans="1:11" ht="34.5" customHeight="1" x14ac:dyDescent="0.25">
      <c r="A13" s="7" t="s">
        <v>153</v>
      </c>
      <c r="B13" s="7" t="s">
        <v>22</v>
      </c>
      <c r="C13" s="7" t="s">
        <v>154</v>
      </c>
      <c r="D13" s="7" t="s">
        <v>155</v>
      </c>
      <c r="E13" s="7" t="s">
        <v>156</v>
      </c>
      <c r="F13" s="7" t="s">
        <v>157</v>
      </c>
      <c r="G13" s="7" t="s">
        <v>158</v>
      </c>
      <c r="H13" s="7" t="s">
        <v>159</v>
      </c>
      <c r="I13" s="6" t="s">
        <v>107</v>
      </c>
      <c r="J13" s="7" t="s">
        <v>108</v>
      </c>
      <c r="K13" s="7" t="s">
        <v>109</v>
      </c>
    </row>
    <row r="14" spans="1:11" ht="45.75" customHeight="1" x14ac:dyDescent="0.25">
      <c r="A14" s="5" t="s">
        <v>160</v>
      </c>
      <c r="B14" s="5" t="s">
        <v>27</v>
      </c>
      <c r="C14" s="5" t="s">
        <v>29</v>
      </c>
      <c r="D14" s="5" t="s">
        <v>161</v>
      </c>
      <c r="E14" s="5" t="s">
        <v>162</v>
      </c>
      <c r="F14" s="5" t="s">
        <v>163</v>
      </c>
      <c r="G14" s="5" t="s">
        <v>164</v>
      </c>
      <c r="H14" s="5" t="s">
        <v>165</v>
      </c>
      <c r="I14" s="6" t="s">
        <v>107</v>
      </c>
      <c r="J14" s="5" t="s">
        <v>108</v>
      </c>
      <c r="K14" s="5" t="s">
        <v>109</v>
      </c>
    </row>
    <row r="15" spans="1:11" ht="45.75" customHeight="1" x14ac:dyDescent="0.25">
      <c r="A15" s="7" t="s">
        <v>166</v>
      </c>
      <c r="B15" s="7" t="s">
        <v>27</v>
      </c>
      <c r="C15" s="7" t="s">
        <v>167</v>
      </c>
      <c r="D15" s="7" t="s">
        <v>168</v>
      </c>
      <c r="E15" s="7" t="s">
        <v>169</v>
      </c>
      <c r="F15" s="7" t="s">
        <v>170</v>
      </c>
      <c r="G15" s="7" t="s">
        <v>171</v>
      </c>
      <c r="H15" s="7" t="s">
        <v>172</v>
      </c>
      <c r="I15" s="6" t="s">
        <v>107</v>
      </c>
      <c r="J15" s="7" t="s">
        <v>108</v>
      </c>
      <c r="K15" s="7" t="s">
        <v>109</v>
      </c>
    </row>
    <row r="16" spans="1:11" ht="45.75" customHeight="1" x14ac:dyDescent="0.25">
      <c r="A16" s="5" t="s">
        <v>173</v>
      </c>
      <c r="B16" s="5" t="s">
        <v>34</v>
      </c>
      <c r="C16" s="5" t="s">
        <v>174</v>
      </c>
      <c r="D16" s="5" t="s">
        <v>175</v>
      </c>
      <c r="E16" s="5" t="s">
        <v>176</v>
      </c>
      <c r="F16" s="5" t="s">
        <v>177</v>
      </c>
      <c r="G16" s="5" t="s">
        <v>178</v>
      </c>
      <c r="H16" s="5" t="s">
        <v>179</v>
      </c>
      <c r="I16" s="6" t="s">
        <v>107</v>
      </c>
      <c r="J16" s="5" t="s">
        <v>108</v>
      </c>
      <c r="K16" s="5" t="s">
        <v>109</v>
      </c>
    </row>
    <row r="17" spans="1:11" ht="45.75" customHeight="1" x14ac:dyDescent="0.25">
      <c r="A17" s="7" t="s">
        <v>180</v>
      </c>
      <c r="B17" s="7" t="s">
        <v>34</v>
      </c>
      <c r="C17" s="7" t="s">
        <v>181</v>
      </c>
      <c r="D17" s="7" t="s">
        <v>182</v>
      </c>
      <c r="E17" s="7" t="s">
        <v>183</v>
      </c>
      <c r="F17" s="7" t="s">
        <v>184</v>
      </c>
      <c r="G17" s="7" t="s">
        <v>185</v>
      </c>
      <c r="H17" s="7" t="s">
        <v>186</v>
      </c>
      <c r="I17" s="8" t="s">
        <v>152</v>
      </c>
      <c r="J17" s="7" t="s">
        <v>108</v>
      </c>
      <c r="K17" s="7" t="s">
        <v>109</v>
      </c>
    </row>
    <row r="18" spans="1:11" ht="45.75" customHeight="1" x14ac:dyDescent="0.25">
      <c r="A18" s="5" t="s">
        <v>187</v>
      </c>
      <c r="B18" s="5" t="s">
        <v>34</v>
      </c>
      <c r="C18" s="5" t="s">
        <v>188</v>
      </c>
      <c r="D18" s="5" t="s">
        <v>189</v>
      </c>
      <c r="E18" s="5" t="s">
        <v>190</v>
      </c>
      <c r="F18" s="5" t="s">
        <v>191</v>
      </c>
      <c r="G18" s="5" t="s">
        <v>192</v>
      </c>
      <c r="H18" s="5" t="s">
        <v>193</v>
      </c>
      <c r="I18" s="6" t="s">
        <v>107</v>
      </c>
      <c r="J18" s="5" t="s">
        <v>108</v>
      </c>
      <c r="K18" s="5" t="s">
        <v>109</v>
      </c>
    </row>
    <row r="19" spans="1:11" ht="45.75" customHeight="1" x14ac:dyDescent="0.25">
      <c r="A19" s="7" t="s">
        <v>194</v>
      </c>
      <c r="B19" s="7" t="s">
        <v>39</v>
      </c>
      <c r="C19" s="7" t="s">
        <v>195</v>
      </c>
      <c r="D19" s="7" t="s">
        <v>196</v>
      </c>
      <c r="E19" s="7" t="s">
        <v>197</v>
      </c>
      <c r="F19" s="7" t="s">
        <v>198</v>
      </c>
      <c r="G19" s="7" t="s">
        <v>199</v>
      </c>
      <c r="H19" s="7" t="s">
        <v>200</v>
      </c>
      <c r="I19" s="6" t="s">
        <v>107</v>
      </c>
      <c r="J19" s="7" t="s">
        <v>108</v>
      </c>
      <c r="K19" s="7" t="s">
        <v>109</v>
      </c>
    </row>
    <row r="20" spans="1:11" ht="45.75" customHeight="1" x14ac:dyDescent="0.25">
      <c r="A20" s="5" t="s">
        <v>201</v>
      </c>
      <c r="B20" s="5" t="s">
        <v>39</v>
      </c>
      <c r="C20" s="5" t="s">
        <v>202</v>
      </c>
      <c r="D20" s="5" t="s">
        <v>203</v>
      </c>
      <c r="E20" s="5" t="s">
        <v>204</v>
      </c>
      <c r="F20" s="5" t="s">
        <v>205</v>
      </c>
      <c r="G20" s="5" t="s">
        <v>206</v>
      </c>
      <c r="H20" s="5" t="s">
        <v>207</v>
      </c>
      <c r="I20" s="6" t="s">
        <v>107</v>
      </c>
      <c r="J20" s="5" t="s">
        <v>108</v>
      </c>
      <c r="K20" s="5" t="s">
        <v>109</v>
      </c>
    </row>
    <row r="21" spans="1:11" ht="34.5" customHeight="1" x14ac:dyDescent="0.25">
      <c r="A21" s="7" t="s">
        <v>208</v>
      </c>
      <c r="B21" s="7" t="s">
        <v>44</v>
      </c>
      <c r="C21" s="7" t="s">
        <v>209</v>
      </c>
      <c r="D21" s="7" t="s">
        <v>210</v>
      </c>
      <c r="E21" s="7" t="s">
        <v>211</v>
      </c>
      <c r="F21" s="7" t="s">
        <v>212</v>
      </c>
      <c r="G21" s="7" t="s">
        <v>213</v>
      </c>
      <c r="H21" s="7" t="s">
        <v>214</v>
      </c>
      <c r="I21" s="6" t="s">
        <v>107</v>
      </c>
      <c r="J21" s="7" t="s">
        <v>108</v>
      </c>
      <c r="K21" s="7" t="s">
        <v>109</v>
      </c>
    </row>
    <row r="22" spans="1:11" ht="34.5" customHeight="1" x14ac:dyDescent="0.25">
      <c r="A22" s="5" t="s">
        <v>215</v>
      </c>
      <c r="B22" s="5" t="s">
        <v>44</v>
      </c>
      <c r="C22" s="5" t="s">
        <v>216</v>
      </c>
      <c r="D22" s="5" t="s">
        <v>217</v>
      </c>
      <c r="E22" s="5" t="s">
        <v>218</v>
      </c>
      <c r="F22" s="5" t="s">
        <v>219</v>
      </c>
      <c r="G22" s="5" t="s">
        <v>220</v>
      </c>
      <c r="H22" s="5" t="s">
        <v>221</v>
      </c>
      <c r="I22" s="6" t="s">
        <v>107</v>
      </c>
      <c r="J22" s="5" t="s">
        <v>108</v>
      </c>
      <c r="K22" s="5" t="s">
        <v>109</v>
      </c>
    </row>
    <row r="23" spans="1:11" ht="34.5" customHeight="1" x14ac:dyDescent="0.25">
      <c r="A23" s="7" t="s">
        <v>222</v>
      </c>
      <c r="B23" s="7" t="s">
        <v>44</v>
      </c>
      <c r="C23" s="7" t="s">
        <v>223</v>
      </c>
      <c r="D23" s="7" t="s">
        <v>224</v>
      </c>
      <c r="E23" s="7" t="s">
        <v>225</v>
      </c>
      <c r="F23" s="7" t="s">
        <v>226</v>
      </c>
      <c r="G23" s="7" t="s">
        <v>227</v>
      </c>
      <c r="H23" s="7" t="s">
        <v>228</v>
      </c>
      <c r="I23" s="6" t="s">
        <v>107</v>
      </c>
      <c r="J23" s="7" t="s">
        <v>108</v>
      </c>
      <c r="K23" s="7" t="s">
        <v>109</v>
      </c>
    </row>
    <row r="24" spans="1:11" ht="34.5" customHeight="1" x14ac:dyDescent="0.25">
      <c r="A24" s="5" t="s">
        <v>229</v>
      </c>
      <c r="B24" s="5" t="s">
        <v>49</v>
      </c>
      <c r="C24" s="5" t="s">
        <v>230</v>
      </c>
      <c r="D24" s="5" t="s">
        <v>231</v>
      </c>
      <c r="E24" s="5" t="s">
        <v>232</v>
      </c>
      <c r="F24" s="5" t="s">
        <v>233</v>
      </c>
      <c r="G24" s="5" t="s">
        <v>234</v>
      </c>
      <c r="H24" s="5" t="s">
        <v>235</v>
      </c>
      <c r="I24" s="6" t="s">
        <v>107</v>
      </c>
      <c r="J24" s="5" t="s">
        <v>108</v>
      </c>
      <c r="K24" s="5" t="s">
        <v>109</v>
      </c>
    </row>
    <row r="25" spans="1:11" ht="45.75" customHeight="1" x14ac:dyDescent="0.25">
      <c r="A25" s="7" t="s">
        <v>236</v>
      </c>
      <c r="B25" s="7" t="s">
        <v>49</v>
      </c>
      <c r="C25" s="7" t="s">
        <v>237</v>
      </c>
      <c r="D25" s="7" t="s">
        <v>238</v>
      </c>
      <c r="E25" s="7" t="s">
        <v>239</v>
      </c>
      <c r="F25" s="7" t="s">
        <v>240</v>
      </c>
      <c r="G25" s="7" t="s">
        <v>241</v>
      </c>
      <c r="H25" s="7" t="s">
        <v>242</v>
      </c>
      <c r="I25" s="6" t="s">
        <v>107</v>
      </c>
      <c r="J25" s="7" t="s">
        <v>108</v>
      </c>
      <c r="K25" s="7" t="s">
        <v>109</v>
      </c>
    </row>
    <row r="26" spans="1:11" ht="34.5" customHeight="1" x14ac:dyDescent="0.25">
      <c r="A26" s="5" t="s">
        <v>243</v>
      </c>
      <c r="B26" s="5" t="s">
        <v>49</v>
      </c>
      <c r="C26" s="5" t="s">
        <v>244</v>
      </c>
      <c r="D26" s="5" t="s">
        <v>245</v>
      </c>
      <c r="E26" s="5" t="s">
        <v>246</v>
      </c>
      <c r="F26" s="5" t="s">
        <v>247</v>
      </c>
      <c r="G26" s="5" t="s">
        <v>248</v>
      </c>
      <c r="H26" s="5" t="s">
        <v>249</v>
      </c>
      <c r="I26" s="8" t="s">
        <v>152</v>
      </c>
      <c r="J26" s="5" t="s">
        <v>108</v>
      </c>
      <c r="K26" s="5" t="s">
        <v>109</v>
      </c>
    </row>
    <row r="27" spans="1:11" ht="34.5" customHeight="1" x14ac:dyDescent="0.25">
      <c r="A27" s="7" t="s">
        <v>250</v>
      </c>
      <c r="B27" s="7" t="s">
        <v>54</v>
      </c>
      <c r="C27" s="7" t="s">
        <v>251</v>
      </c>
      <c r="D27" s="7" t="s">
        <v>252</v>
      </c>
      <c r="E27" s="7" t="s">
        <v>253</v>
      </c>
      <c r="F27" s="7" t="s">
        <v>254</v>
      </c>
      <c r="G27" s="7" t="s">
        <v>255</v>
      </c>
      <c r="H27" s="7" t="s">
        <v>256</v>
      </c>
      <c r="I27" s="6" t="s">
        <v>107</v>
      </c>
      <c r="J27" s="7" t="s">
        <v>108</v>
      </c>
      <c r="K27" s="7" t="s">
        <v>109</v>
      </c>
    </row>
    <row r="28" spans="1:11" ht="34.5" customHeight="1" x14ac:dyDescent="0.25">
      <c r="A28" s="5" t="s">
        <v>257</v>
      </c>
      <c r="B28" s="5" t="s">
        <v>54</v>
      </c>
      <c r="C28" s="5" t="s">
        <v>258</v>
      </c>
      <c r="D28" s="5" t="s">
        <v>259</v>
      </c>
      <c r="E28" s="5" t="s">
        <v>260</v>
      </c>
      <c r="F28" s="5" t="s">
        <v>261</v>
      </c>
      <c r="G28" s="5" t="s">
        <v>262</v>
      </c>
      <c r="H28" s="5" t="s">
        <v>263</v>
      </c>
      <c r="I28" s="6" t="s">
        <v>107</v>
      </c>
      <c r="J28" s="5" t="s">
        <v>108</v>
      </c>
      <c r="K28" s="5" t="s">
        <v>109</v>
      </c>
    </row>
    <row r="29" spans="1:11" ht="34.5" customHeight="1" x14ac:dyDescent="0.25">
      <c r="A29" s="7" t="s">
        <v>264</v>
      </c>
      <c r="B29" s="7" t="s">
        <v>59</v>
      </c>
      <c r="C29" s="7" t="s">
        <v>265</v>
      </c>
      <c r="D29" s="7" t="s">
        <v>266</v>
      </c>
      <c r="E29" s="7" t="s">
        <v>267</v>
      </c>
      <c r="F29" s="7" t="s">
        <v>268</v>
      </c>
      <c r="G29" s="7" t="s">
        <v>269</v>
      </c>
      <c r="H29" s="7" t="s">
        <v>270</v>
      </c>
      <c r="I29" s="6" t="s">
        <v>107</v>
      </c>
      <c r="J29" s="7" t="s">
        <v>108</v>
      </c>
      <c r="K29" s="7" t="s">
        <v>109</v>
      </c>
    </row>
    <row r="30" spans="1:11" ht="34.5" customHeight="1" x14ac:dyDescent="0.25">
      <c r="A30" s="5" t="s">
        <v>271</v>
      </c>
      <c r="B30" s="5" t="s">
        <v>59</v>
      </c>
      <c r="C30" s="5" t="s">
        <v>272</v>
      </c>
      <c r="D30" s="5" t="s">
        <v>273</v>
      </c>
      <c r="E30" s="5" t="s">
        <v>274</v>
      </c>
      <c r="F30" s="5" t="s">
        <v>275</v>
      </c>
      <c r="G30" s="5" t="s">
        <v>276</v>
      </c>
      <c r="H30" s="5" t="s">
        <v>277</v>
      </c>
      <c r="I30" s="6" t="s">
        <v>107</v>
      </c>
      <c r="J30" s="5" t="s">
        <v>108</v>
      </c>
      <c r="K30" s="5" t="s">
        <v>109</v>
      </c>
    </row>
    <row r="31" spans="1:11" ht="45.75" customHeight="1" x14ac:dyDescent="0.25">
      <c r="A31" s="7" t="s">
        <v>278</v>
      </c>
      <c r="B31" s="7" t="s">
        <v>59</v>
      </c>
      <c r="C31" s="7" t="s">
        <v>279</v>
      </c>
      <c r="D31" s="7" t="s">
        <v>280</v>
      </c>
      <c r="E31" s="7" t="s">
        <v>281</v>
      </c>
      <c r="F31" s="7" t="s">
        <v>282</v>
      </c>
      <c r="G31" s="7" t="s">
        <v>283</v>
      </c>
      <c r="H31" s="7" t="s">
        <v>284</v>
      </c>
      <c r="I31" s="8" t="s">
        <v>152</v>
      </c>
      <c r="J31" s="7" t="s">
        <v>108</v>
      </c>
      <c r="K31" s="7" t="s">
        <v>109</v>
      </c>
    </row>
    <row r="32" spans="1:11" ht="34.5" customHeight="1" x14ac:dyDescent="0.25">
      <c r="A32" s="5" t="s">
        <v>68</v>
      </c>
      <c r="B32" s="5" t="s">
        <v>64</v>
      </c>
      <c r="C32" s="5" t="s">
        <v>66</v>
      </c>
      <c r="D32" s="5" t="s">
        <v>285</v>
      </c>
      <c r="E32" s="5" t="s">
        <v>286</v>
      </c>
      <c r="F32" s="5" t="s">
        <v>287</v>
      </c>
      <c r="G32" s="5" t="s">
        <v>288</v>
      </c>
      <c r="H32" s="5" t="s">
        <v>289</v>
      </c>
      <c r="I32" s="9" t="s">
        <v>290</v>
      </c>
      <c r="J32" s="5" t="s">
        <v>108</v>
      </c>
      <c r="K32" s="5" t="s">
        <v>109</v>
      </c>
    </row>
    <row r="33" spans="1:11" ht="34.5" customHeight="1" x14ac:dyDescent="0.25">
      <c r="A33" s="7" t="s">
        <v>291</v>
      </c>
      <c r="B33" s="7" t="s">
        <v>71</v>
      </c>
      <c r="C33" s="7" t="s">
        <v>292</v>
      </c>
      <c r="D33" s="7" t="s">
        <v>293</v>
      </c>
      <c r="E33" s="7" t="s">
        <v>294</v>
      </c>
      <c r="F33" s="7" t="s">
        <v>295</v>
      </c>
      <c r="G33" s="7" t="s">
        <v>296</v>
      </c>
      <c r="H33" s="7" t="s">
        <v>297</v>
      </c>
      <c r="I33" s="6" t="s">
        <v>107</v>
      </c>
      <c r="J33" s="7" t="s">
        <v>108</v>
      </c>
      <c r="K33" s="7" t="s">
        <v>109</v>
      </c>
    </row>
    <row r="34" spans="1:11" ht="34.5" customHeight="1" x14ac:dyDescent="0.25">
      <c r="A34" s="5" t="s">
        <v>298</v>
      </c>
      <c r="B34" s="5" t="s">
        <v>71</v>
      </c>
      <c r="C34" s="5" t="s">
        <v>299</v>
      </c>
      <c r="D34" s="5" t="s">
        <v>300</v>
      </c>
      <c r="E34" s="5" t="s">
        <v>301</v>
      </c>
      <c r="F34" s="5" t="s">
        <v>302</v>
      </c>
      <c r="G34" s="5" t="s">
        <v>303</v>
      </c>
      <c r="H34" s="5" t="s">
        <v>304</v>
      </c>
      <c r="I34" s="6" t="s">
        <v>107</v>
      </c>
      <c r="J34" s="5" t="s">
        <v>108</v>
      </c>
      <c r="K34" s="5" t="s">
        <v>109</v>
      </c>
    </row>
    <row r="35" spans="1:11" ht="34.5" customHeight="1" x14ac:dyDescent="0.25">
      <c r="A35" s="7" t="s">
        <v>305</v>
      </c>
      <c r="B35" s="7" t="s">
        <v>76</v>
      </c>
      <c r="C35" s="7" t="s">
        <v>306</v>
      </c>
      <c r="D35" s="7" t="s">
        <v>307</v>
      </c>
      <c r="E35" s="7" t="s">
        <v>308</v>
      </c>
      <c r="F35" s="7" t="s">
        <v>309</v>
      </c>
      <c r="G35" s="7" t="s">
        <v>310</v>
      </c>
      <c r="H35" s="7" t="s">
        <v>311</v>
      </c>
      <c r="I35" s="6" t="s">
        <v>107</v>
      </c>
      <c r="J35" s="7" t="s">
        <v>108</v>
      </c>
      <c r="K35" s="7" t="s">
        <v>109</v>
      </c>
    </row>
    <row r="36" spans="1:11" ht="34.5" customHeight="1" x14ac:dyDescent="0.25">
      <c r="A36" s="5" t="s">
        <v>312</v>
      </c>
      <c r="B36" s="5" t="s">
        <v>76</v>
      </c>
      <c r="C36" s="5" t="s">
        <v>313</v>
      </c>
      <c r="D36" s="5" t="s">
        <v>314</v>
      </c>
      <c r="E36" s="5" t="s">
        <v>315</v>
      </c>
      <c r="F36" s="5" t="s">
        <v>316</v>
      </c>
      <c r="G36" s="5" t="s">
        <v>317</v>
      </c>
      <c r="H36" s="5" t="s">
        <v>318</v>
      </c>
      <c r="I36" s="6" t="s">
        <v>107</v>
      </c>
      <c r="J36" s="5" t="s">
        <v>108</v>
      </c>
      <c r="K36" s="5" t="s">
        <v>109</v>
      </c>
    </row>
    <row r="37" spans="1:11" ht="34.5" customHeight="1" x14ac:dyDescent="0.25">
      <c r="A37" s="7" t="s">
        <v>319</v>
      </c>
      <c r="B37" s="7" t="s">
        <v>82</v>
      </c>
      <c r="C37" s="7" t="s">
        <v>320</v>
      </c>
      <c r="D37" s="7" t="s">
        <v>321</v>
      </c>
      <c r="E37" s="7" t="s">
        <v>322</v>
      </c>
      <c r="F37" s="7" t="s">
        <v>323</v>
      </c>
      <c r="G37" s="7" t="s">
        <v>324</v>
      </c>
      <c r="H37" s="7" t="s">
        <v>325</v>
      </c>
      <c r="I37" s="6" t="s">
        <v>107</v>
      </c>
      <c r="J37" s="7" t="s">
        <v>108</v>
      </c>
      <c r="K37" s="7" t="s">
        <v>109</v>
      </c>
    </row>
    <row r="38" spans="1:11" ht="34.5" customHeight="1" x14ac:dyDescent="0.25">
      <c r="A38" s="5" t="s">
        <v>326</v>
      </c>
      <c r="B38" s="5" t="s">
        <v>82</v>
      </c>
      <c r="C38" s="5" t="s">
        <v>327</v>
      </c>
      <c r="D38" s="5" t="s">
        <v>328</v>
      </c>
      <c r="E38" s="5" t="s">
        <v>329</v>
      </c>
      <c r="F38" s="5" t="s">
        <v>330</v>
      </c>
      <c r="G38" s="5" t="s">
        <v>331</v>
      </c>
      <c r="H38" s="5" t="s">
        <v>332</v>
      </c>
      <c r="I38" s="6" t="s">
        <v>107</v>
      </c>
      <c r="J38" s="5" t="s">
        <v>108</v>
      </c>
      <c r="K38" s="5" t="s">
        <v>109</v>
      </c>
    </row>
  </sheetData>
  <autoFilter ref="A5:K3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2" customWidth="1"/>
    <col min="3" max="3" width="52" customWidth="1"/>
    <col min="4" max="4" width="11" customWidth="1"/>
    <col min="5" max="5" width="22" customWidth="1"/>
    <col min="6" max="6" width="13" customWidth="1"/>
    <col min="7" max="7" width="12" customWidth="1"/>
    <col min="8" max="8" width="15" customWidth="1"/>
  </cols>
  <sheetData>
    <row r="1" spans="1:8" ht="19.5" customHeight="1" x14ac:dyDescent="0.3">
      <c r="A1" s="2" t="s">
        <v>333</v>
      </c>
    </row>
    <row r="2" spans="1:8" ht="15" customHeight="1" x14ac:dyDescent="0.25">
      <c r="A2" s="3" t="s">
        <v>88</v>
      </c>
    </row>
    <row r="4" spans="1:8" ht="31.5" customHeight="1" x14ac:dyDescent="0.25">
      <c r="A4" s="4" t="s">
        <v>334</v>
      </c>
      <c r="B4" s="4" t="s">
        <v>335</v>
      </c>
      <c r="C4" s="4" t="s">
        <v>336</v>
      </c>
      <c r="D4" s="4" t="s">
        <v>337</v>
      </c>
      <c r="E4" s="4" t="s">
        <v>97</v>
      </c>
      <c r="F4" s="4" t="s">
        <v>338</v>
      </c>
      <c r="G4" s="4" t="s">
        <v>339</v>
      </c>
      <c r="H4" s="4" t="s">
        <v>340</v>
      </c>
    </row>
    <row r="5" spans="1:8" ht="23.25" customHeight="1" x14ac:dyDescent="0.25">
      <c r="A5" s="5" t="s">
        <v>341</v>
      </c>
      <c r="B5" s="5" t="s">
        <v>145</v>
      </c>
      <c r="C5" s="5" t="s">
        <v>342</v>
      </c>
      <c r="D5" s="5" t="s">
        <v>343</v>
      </c>
      <c r="E5" s="6" t="s">
        <v>344</v>
      </c>
      <c r="F5" s="5" t="s">
        <v>345</v>
      </c>
      <c r="G5" s="5" t="s">
        <v>346</v>
      </c>
      <c r="H5" s="5" t="s">
        <v>108</v>
      </c>
    </row>
    <row r="6" spans="1:8" ht="23.25" customHeight="1" x14ac:dyDescent="0.25">
      <c r="A6" s="7" t="s">
        <v>347</v>
      </c>
      <c r="B6" s="7" t="s">
        <v>180</v>
      </c>
      <c r="C6" s="7" t="s">
        <v>348</v>
      </c>
      <c r="D6" s="8" t="s">
        <v>349</v>
      </c>
      <c r="E6" s="6" t="s">
        <v>344</v>
      </c>
      <c r="F6" s="7" t="s">
        <v>345</v>
      </c>
      <c r="G6" s="7" t="s">
        <v>346</v>
      </c>
      <c r="H6" s="7" t="s">
        <v>108</v>
      </c>
    </row>
    <row r="7" spans="1:8" ht="23.25" customHeight="1" x14ac:dyDescent="0.25">
      <c r="A7" s="5" t="s">
        <v>350</v>
      </c>
      <c r="B7" s="5" t="s">
        <v>243</v>
      </c>
      <c r="C7" s="5" t="s">
        <v>351</v>
      </c>
      <c r="D7" s="9" t="s">
        <v>352</v>
      </c>
      <c r="E7" s="6" t="s">
        <v>344</v>
      </c>
      <c r="F7" s="5" t="s">
        <v>346</v>
      </c>
      <c r="G7" s="5" t="s">
        <v>109</v>
      </c>
      <c r="H7" s="5" t="s">
        <v>108</v>
      </c>
    </row>
    <row r="8" spans="1:8" ht="23.25" customHeight="1" x14ac:dyDescent="0.25">
      <c r="A8" s="7" t="s">
        <v>353</v>
      </c>
      <c r="B8" s="7" t="s">
        <v>278</v>
      </c>
      <c r="C8" s="7" t="s">
        <v>354</v>
      </c>
      <c r="D8" s="8" t="s">
        <v>349</v>
      </c>
      <c r="E8" s="6" t="s">
        <v>344</v>
      </c>
      <c r="F8" s="7" t="s">
        <v>346</v>
      </c>
      <c r="G8" s="7" t="s">
        <v>109</v>
      </c>
      <c r="H8" s="7" t="s">
        <v>108</v>
      </c>
    </row>
    <row r="9" spans="1:8" ht="45.75" customHeight="1" x14ac:dyDescent="0.25">
      <c r="A9" s="5" t="s">
        <v>355</v>
      </c>
      <c r="B9" s="5" t="s">
        <v>356</v>
      </c>
      <c r="C9" s="5" t="s">
        <v>357</v>
      </c>
      <c r="D9" s="8" t="s">
        <v>349</v>
      </c>
      <c r="E9" s="9" t="s">
        <v>358</v>
      </c>
      <c r="F9" s="5" t="s">
        <v>109</v>
      </c>
      <c r="G9" s="5"/>
      <c r="H9" s="5" t="s">
        <v>108</v>
      </c>
    </row>
  </sheetData>
  <autoFilter ref="A4:H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showGridLines="0" zoomScaleNormal="100" workbookViewId="0"/>
  </sheetViews>
  <sheetFormatPr defaultColWidth="8.7109375" defaultRowHeight="15" x14ac:dyDescent="0.25"/>
  <cols>
    <col min="1" max="1" width="20" customWidth="1"/>
    <col min="2" max="2" width="30" customWidth="1"/>
    <col min="3" max="3" width="20" customWidth="1"/>
    <col min="4" max="4" width="12" customWidth="1"/>
    <col min="5" max="5" width="48" customWidth="1"/>
  </cols>
  <sheetData>
    <row r="1" spans="1:5" ht="19.5" customHeight="1" x14ac:dyDescent="0.3">
      <c r="A1" s="2" t="s">
        <v>359</v>
      </c>
    </row>
    <row r="2" spans="1:5" ht="15" customHeight="1" x14ac:dyDescent="0.25">
      <c r="A2" s="3" t="s">
        <v>360</v>
      </c>
    </row>
    <row r="3" spans="1:5" ht="15" customHeight="1" x14ac:dyDescent="0.25">
      <c r="A3" s="3" t="s">
        <v>361</v>
      </c>
    </row>
    <row r="5" spans="1:5" ht="15.75" customHeight="1" x14ac:dyDescent="0.25">
      <c r="A5" s="10" t="s">
        <v>362</v>
      </c>
    </row>
    <row r="6" spans="1:5" ht="15" customHeight="1" x14ac:dyDescent="0.25">
      <c r="A6" s="11" t="s">
        <v>363</v>
      </c>
      <c r="C6" s="12">
        <f>COUNTA(RTM!A6:A19)</f>
        <v>14</v>
      </c>
    </row>
    <row r="7" spans="1:5" ht="15" customHeight="1" x14ac:dyDescent="0.25">
      <c r="A7" s="11" t="s">
        <v>364</v>
      </c>
      <c r="C7" s="12">
        <f>COUNTA('Test Cases'!A6:A38)</f>
        <v>33</v>
      </c>
    </row>
    <row r="8" spans="1:5" ht="15" customHeight="1" x14ac:dyDescent="0.25">
      <c r="A8" s="11" t="s">
        <v>365</v>
      </c>
      <c r="C8" s="12">
        <f>COUNTIF('Test Cases'!I6:I38,"Pass")</f>
        <v>28</v>
      </c>
    </row>
    <row r="9" spans="1:5" ht="15" customHeight="1" x14ac:dyDescent="0.25">
      <c r="A9" s="11" t="s">
        <v>366</v>
      </c>
      <c r="C9" s="12">
        <f>COUNTIF('Test Cases'!I6:I38,"Fail*")</f>
        <v>4</v>
      </c>
    </row>
    <row r="10" spans="1:5" ht="15" customHeight="1" x14ac:dyDescent="0.25">
      <c r="A10" s="11" t="s">
        <v>367</v>
      </c>
      <c r="C10" s="12">
        <f>COUNTIF('Test Cases'!I6:I38,"Blocked")</f>
        <v>1</v>
      </c>
    </row>
    <row r="11" spans="1:5" ht="15" customHeight="1" x14ac:dyDescent="0.25">
      <c r="A11" s="11" t="s">
        <v>368</v>
      </c>
      <c r="C11" s="12">
        <f>COUNTA('Defect Log'!A5:A9)</f>
        <v>5</v>
      </c>
    </row>
    <row r="12" spans="1:5" ht="15" customHeight="1" x14ac:dyDescent="0.25">
      <c r="A12" s="11" t="s">
        <v>369</v>
      </c>
      <c r="C12" s="12">
        <f>COUNTIF('Defect Log'!E5:E9,"Closed*")</f>
        <v>4</v>
      </c>
    </row>
    <row r="13" spans="1:5" ht="15" customHeight="1" x14ac:dyDescent="0.25">
      <c r="A13" s="11" t="s">
        <v>370</v>
      </c>
      <c r="C13" s="12">
        <f>COUNTIF('Defect Log'!E5:E9,"Open*")</f>
        <v>1</v>
      </c>
    </row>
    <row r="15" spans="1:5" ht="24" customHeight="1" x14ac:dyDescent="0.25">
      <c r="A15" s="13" t="s">
        <v>371</v>
      </c>
      <c r="C15" s="1" t="str">
        <f>IF(COUNTIF('Defect Log'!E5:E9,"Open*")=0,"ACCEPTED — All defects closed","CONDITIONALLY ACCEPTED — "&amp;COUNTIF('Defect Log'!E5:E9,"Open*")&amp;" open item(s) pending resolution")</f>
        <v>CONDITIONALLY ACCEPTED — 1 open item(s) pending resolution</v>
      </c>
      <c r="D15" s="1"/>
      <c r="E15" s="1"/>
    </row>
    <row r="18" spans="1:5" ht="15.75" customHeight="1" x14ac:dyDescent="0.25">
      <c r="A18" s="10" t="s">
        <v>372</v>
      </c>
    </row>
    <row r="20" spans="1:5" ht="27.75" customHeight="1" x14ac:dyDescent="0.25">
      <c r="A20" s="4" t="s">
        <v>373</v>
      </c>
      <c r="B20" s="4" t="s">
        <v>374</v>
      </c>
      <c r="C20" s="4" t="s">
        <v>375</v>
      </c>
      <c r="D20" s="4" t="s">
        <v>99</v>
      </c>
      <c r="E20" s="4" t="s">
        <v>376</v>
      </c>
    </row>
    <row r="21" spans="1:5" ht="23.25" customHeight="1" x14ac:dyDescent="0.25">
      <c r="A21" s="5" t="s">
        <v>377</v>
      </c>
      <c r="B21" s="5" t="s">
        <v>378</v>
      </c>
      <c r="C21" s="14" t="s">
        <v>379</v>
      </c>
      <c r="D21" s="5" t="s">
        <v>109</v>
      </c>
      <c r="E21" s="5" t="s">
        <v>380</v>
      </c>
    </row>
    <row r="22" spans="1:5" ht="23.25" customHeight="1" x14ac:dyDescent="0.25">
      <c r="A22" s="7" t="s">
        <v>381</v>
      </c>
      <c r="B22" s="7" t="s">
        <v>382</v>
      </c>
      <c r="C22" s="14" t="s">
        <v>379</v>
      </c>
      <c r="D22" s="7" t="s">
        <v>109</v>
      </c>
      <c r="E22" s="7" t="s">
        <v>383</v>
      </c>
    </row>
    <row r="23" spans="1:5" ht="23.25" customHeight="1" x14ac:dyDescent="0.25">
      <c r="A23" s="5" t="s">
        <v>384</v>
      </c>
      <c r="B23" s="5" t="s">
        <v>385</v>
      </c>
      <c r="C23" s="14" t="s">
        <v>379</v>
      </c>
      <c r="D23" s="5" t="s">
        <v>109</v>
      </c>
      <c r="E23" s="5" t="s">
        <v>386</v>
      </c>
    </row>
    <row r="24" spans="1:5" ht="23.25" customHeight="1" x14ac:dyDescent="0.25">
      <c r="A24" s="7" t="s">
        <v>387</v>
      </c>
      <c r="B24" s="7" t="s">
        <v>388</v>
      </c>
      <c r="C24" s="15" t="s">
        <v>389</v>
      </c>
      <c r="D24" s="7" t="s">
        <v>109</v>
      </c>
      <c r="E24" s="7" t="s">
        <v>390</v>
      </c>
    </row>
  </sheetData>
  <mergeCells count="1">
    <mergeCell ref="C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Test Cases</vt:lpstr>
      <vt:lpstr>Defect Log</vt:lpstr>
      <vt:lpstr>UAT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Harsha Kardile</cp:lastModifiedBy>
  <cp:revision>0</cp:revision>
  <dcterms:created xsi:type="dcterms:W3CDTF">2026-09-28T19:16:05Z</dcterms:created>
  <dcterms:modified xsi:type="dcterms:W3CDTF">2026-10-03T18:13:45Z</dcterms:modified>
  <dc:language>en-US</dc:language>
</cp:coreProperties>
</file>